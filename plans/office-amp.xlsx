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ane/Code/Personal/Projects/hifi-amp/plans/"/>
    </mc:Choice>
  </mc:AlternateContent>
  <xr:revisionPtr revIDLastSave="0" documentId="13_ncr:1_{7B5AC1CD-BBA1-8F4E-A96B-491B735C21CA}" xr6:coauthVersionLast="47" xr6:coauthVersionMax="47" xr10:uidLastSave="{00000000-0000-0000-0000-000000000000}"/>
  <bookViews>
    <workbookView xWindow="18040" yWindow="500" windowWidth="28040" windowHeight="17220" activeTab="4" xr2:uid="{43D2BE61-57E7-3F43-AB11-C5645C3A3F52}"/>
  </bookViews>
  <sheets>
    <sheet name="Sheet1" sheetId="1" r:id="rId1"/>
    <sheet name="Sheet2" sheetId="2" r:id="rId2"/>
    <sheet name="Sheet4" sheetId="4" r:id="rId3"/>
    <sheet name="Sheet2 (2)" sheetId="3" r:id="rId4"/>
    <sheet name="Sheet2 (3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5" l="1"/>
  <c r="B37" i="5"/>
  <c r="B38" i="5" s="1"/>
  <c r="B31" i="5"/>
  <c r="B42" i="5" s="1"/>
  <c r="I22" i="5"/>
  <c r="K22" i="5" s="1"/>
  <c r="M21" i="5"/>
  <c r="I21" i="5"/>
  <c r="K21" i="5" s="1"/>
  <c r="I20" i="5"/>
  <c r="K20" i="5" s="1"/>
  <c r="C4" i="5"/>
  <c r="C2" i="5"/>
  <c r="K1" i="5"/>
  <c r="C1" i="5"/>
  <c r="E8" i="5" s="1"/>
  <c r="C44" i="2"/>
  <c r="B37" i="2"/>
  <c r="B38" i="2" s="1"/>
  <c r="B31" i="2"/>
  <c r="B32" i="2" s="1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I24" i="3"/>
  <c r="K24" i="3" s="1"/>
  <c r="I23" i="3"/>
  <c r="K23" i="3" s="1"/>
  <c r="I22" i="3"/>
  <c r="M21" i="3"/>
  <c r="K21" i="3"/>
  <c r="I21" i="3"/>
  <c r="I20" i="3"/>
  <c r="K20" i="3" s="1"/>
  <c r="C4" i="3"/>
  <c r="C2" i="3"/>
  <c r="K1" i="3"/>
  <c r="C1" i="3"/>
  <c r="B11" i="3" s="1"/>
  <c r="M21" i="2"/>
  <c r="I22" i="2"/>
  <c r="K22" i="2" s="1"/>
  <c r="I20" i="2"/>
  <c r="K1" i="2"/>
  <c r="K21" i="2"/>
  <c r="I21" i="2"/>
  <c r="C4" i="2"/>
  <c r="C2" i="2"/>
  <c r="C1" i="2"/>
  <c r="B10" i="5" l="1"/>
  <c r="B9" i="5"/>
  <c r="E9" i="5"/>
  <c r="E11" i="5" s="1"/>
  <c r="B32" i="5"/>
  <c r="B43" i="5" s="1"/>
  <c r="B44" i="5" s="1"/>
  <c r="D44" i="5" s="1"/>
  <c r="B11" i="5"/>
  <c r="B8" i="5"/>
  <c r="C8" i="5" s="1"/>
  <c r="E10" i="5"/>
  <c r="B43" i="2"/>
  <c r="B42" i="2"/>
  <c r="B9" i="3"/>
  <c r="B13" i="3" s="1"/>
  <c r="B15" i="3" s="1"/>
  <c r="B8" i="3"/>
  <c r="C8" i="3" s="1"/>
  <c r="E9" i="3"/>
  <c r="B10" i="3"/>
  <c r="E8" i="3"/>
  <c r="E10" i="3"/>
  <c r="E10" i="2"/>
  <c r="E9" i="2"/>
  <c r="E8" i="2"/>
  <c r="B11" i="2"/>
  <c r="B9" i="2"/>
  <c r="B10" i="2"/>
  <c r="B8" i="2"/>
  <c r="C8" i="2" s="1"/>
  <c r="B13" i="5" l="1"/>
  <c r="B14" i="5" s="1"/>
  <c r="B16" i="5"/>
  <c r="B18" i="5" s="1"/>
  <c r="C18" i="5" s="1"/>
  <c r="B17" i="5"/>
  <c r="B19" i="5" s="1"/>
  <c r="C19" i="5" s="1"/>
  <c r="B44" i="2"/>
  <c r="D44" i="2" s="1"/>
  <c r="E11" i="3"/>
  <c r="B17" i="3" s="1"/>
  <c r="B19" i="3" s="1"/>
  <c r="C19" i="3" s="1"/>
  <c r="B14" i="3"/>
  <c r="E11" i="2"/>
  <c r="B13" i="2"/>
  <c r="B14" i="2" s="1"/>
  <c r="B15" i="5" l="1"/>
  <c r="B16" i="2"/>
  <c r="B18" i="2" s="1"/>
  <c r="C18" i="2" s="1"/>
  <c r="B16" i="3"/>
  <c r="B18" i="3" s="1"/>
  <c r="C18" i="3" s="1"/>
  <c r="B17" i="2"/>
  <c r="B19" i="2" s="1"/>
  <c r="C19" i="2" s="1"/>
  <c r="B15" i="2"/>
</calcChain>
</file>

<file path=xl/sharedStrings.xml><?xml version="1.0" encoding="utf-8"?>
<sst xmlns="http://schemas.openxmlformats.org/spreadsheetml/2006/main" count="165" uniqueCount="54">
  <si>
    <t>HEATSINK</t>
  </si>
  <si>
    <t>LM3886</t>
  </si>
  <si>
    <t>TRANSFORMER</t>
  </si>
  <si>
    <t>UPROC</t>
  </si>
  <si>
    <t>ADC</t>
  </si>
  <si>
    <t>SPDIF</t>
  </si>
  <si>
    <t>DAC</t>
  </si>
  <si>
    <t>DSP</t>
  </si>
  <si>
    <t>I2S SWITCH</t>
  </si>
  <si>
    <t>FTDI</t>
  </si>
  <si>
    <t>CAPBANK</t>
  </si>
  <si>
    <t>POWER RECTIFER</t>
  </si>
  <si>
    <t>ANALOG RECT + PSU</t>
  </si>
  <si>
    <t>INPUT/VINYL</t>
  </si>
  <si>
    <t>C1</t>
  </si>
  <si>
    <t>C2</t>
  </si>
  <si>
    <t>R1</t>
  </si>
  <si>
    <t>C4</t>
  </si>
  <si>
    <t>R2</t>
  </si>
  <si>
    <t>Fz</t>
  </si>
  <si>
    <t>Pi</t>
  </si>
  <si>
    <t>T1</t>
  </si>
  <si>
    <t>b</t>
  </si>
  <si>
    <t>a</t>
  </si>
  <si>
    <t>c</t>
  </si>
  <si>
    <t>Delta</t>
  </si>
  <si>
    <t>T2</t>
  </si>
  <si>
    <t>W1</t>
  </si>
  <si>
    <t>W2</t>
  </si>
  <si>
    <t>F1</t>
  </si>
  <si>
    <t>F2</t>
  </si>
  <si>
    <t>147n</t>
  </si>
  <si>
    <t>142n</t>
  </si>
  <si>
    <t>7.5k</t>
  </si>
  <si>
    <t>C1+C2</t>
  </si>
  <si>
    <t>Speakers</t>
  </si>
  <si>
    <t>RS100P</t>
  </si>
  <si>
    <t>R</t>
  </si>
  <si>
    <t>Vented Volume</t>
  </si>
  <si>
    <t>Vented F3</t>
  </si>
  <si>
    <t>RS100</t>
  </si>
  <si>
    <t>RS125P</t>
  </si>
  <si>
    <t>RS125</t>
  </si>
  <si>
    <t>RS150P</t>
  </si>
  <si>
    <t>RS150</t>
  </si>
  <si>
    <t>RS180P</t>
  </si>
  <si>
    <t>RS180</t>
  </si>
  <si>
    <t>Cubic Cm</t>
  </si>
  <si>
    <t>Gain R1</t>
  </si>
  <si>
    <t>Gain R2</t>
  </si>
  <si>
    <t>V/V</t>
  </si>
  <si>
    <t>Loss at 1k</t>
  </si>
  <si>
    <t>1K Gain</t>
  </si>
  <si>
    <t>After stage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</si>
</sst>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sz val="20"/>
      <color rgb="FF000000"/>
      <name val="Aptos Narrow"/>
      <family val="2"/>
      <scheme val="minor"/>
    </font>
    <font>
      <b/>
      <sz val="20"/>
      <color rgb="FF00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2" xfId="0" applyBorder="1"/>
    <xf numFmtId="0" fontId="0" fillId="0" borderId="4" xfId="0" applyBorder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 textRotation="90"/>
    </xf>
    <xf numFmtId="0" fontId="1" fillId="0" borderId="2" xfId="0" applyFont="1" applyBorder="1" applyAlignment="1">
      <alignment vertical="center" textRotation="90"/>
    </xf>
    <xf numFmtId="0" fontId="1" fillId="0" borderId="3" xfId="0" applyFont="1" applyBorder="1" applyAlignment="1">
      <alignment vertical="center" textRotation="90"/>
    </xf>
    <xf numFmtId="0" fontId="1" fillId="0" borderId="4" xfId="0" applyFont="1" applyBorder="1" applyAlignment="1">
      <alignment vertical="center" textRotation="90"/>
    </xf>
    <xf numFmtId="0" fontId="1" fillId="0" borderId="0" xfId="0" applyFont="1" applyAlignment="1">
      <alignment vertical="center" textRotation="90"/>
    </xf>
    <xf numFmtId="0" fontId="1" fillId="0" borderId="5" xfId="0" applyFont="1" applyBorder="1" applyAlignment="1">
      <alignment vertical="center" textRotation="90"/>
    </xf>
    <xf numFmtId="0" fontId="0" fillId="0" borderId="5" xfId="0" applyBorder="1"/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2" fillId="0" borderId="0" xfId="0" applyFont="1"/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29DA-1145-9C45-8C81-2CA4378403D5}">
  <sheetPr>
    <pageSetUpPr fitToPage="1"/>
  </sheetPr>
  <dimension ref="A1:ES48"/>
  <sheetViews>
    <sheetView workbookViewId="0">
      <selection activeCell="AV37" sqref="AV37"/>
    </sheetView>
  </sheetViews>
  <sheetFormatPr baseColWidth="10" defaultColWidth="2.1640625" defaultRowHeight="13" customHeight="1" x14ac:dyDescent="0.2"/>
  <sheetData>
    <row r="1" spans="1:80" ht="13" customHeight="1" thickBo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7" t="s">
        <v>2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9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5" t="s">
        <v>0</v>
      </c>
      <c r="BT1" s="5"/>
      <c r="BU1" s="5"/>
      <c r="BV1" s="5"/>
      <c r="BW1" s="5"/>
      <c r="BX1" s="5"/>
      <c r="BY1" s="5"/>
      <c r="BZ1" s="6"/>
      <c r="CA1" s="6"/>
      <c r="CB1" s="8"/>
    </row>
    <row r="2" spans="1:80" ht="13" customHeight="1" thickBot="1" x14ac:dyDescent="0.25">
      <c r="A2" s="7"/>
      <c r="B2" s="8"/>
      <c r="C2" s="8"/>
      <c r="D2" s="8"/>
      <c r="E2" s="8"/>
      <c r="F2" s="8"/>
      <c r="G2" s="8"/>
      <c r="H2" s="8"/>
      <c r="I2" s="8"/>
      <c r="J2" s="44" t="s">
        <v>1</v>
      </c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6"/>
      <c r="Y2" s="3"/>
      <c r="Z2" s="3"/>
      <c r="AB2" s="20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2"/>
      <c r="BC2" s="44" t="s">
        <v>1</v>
      </c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6"/>
      <c r="BR2" s="3"/>
      <c r="BS2" s="8"/>
      <c r="BT2" s="8"/>
      <c r="BU2" s="8"/>
      <c r="BV2" s="8"/>
      <c r="BW2" s="8"/>
      <c r="BX2" s="8"/>
      <c r="BY2" s="8"/>
      <c r="BZ2" s="9"/>
      <c r="CA2" s="8"/>
      <c r="CB2" s="8"/>
    </row>
    <row r="3" spans="1:80" ht="13" customHeight="1" x14ac:dyDescent="0.2">
      <c r="A3" s="35" t="s">
        <v>0</v>
      </c>
      <c r="B3" s="36"/>
      <c r="C3" s="36"/>
      <c r="D3" s="36"/>
      <c r="E3" s="36"/>
      <c r="F3" s="36"/>
      <c r="G3" s="36"/>
      <c r="H3" s="37"/>
      <c r="I3" s="8"/>
      <c r="J3" s="47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3"/>
      <c r="Z3" s="3"/>
      <c r="AB3" s="20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2"/>
      <c r="BC3" s="47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9"/>
      <c r="BR3" s="3"/>
      <c r="BS3" s="35" t="s">
        <v>0</v>
      </c>
      <c r="BT3" s="36"/>
      <c r="BU3" s="36"/>
      <c r="BV3" s="36"/>
      <c r="BW3" s="36"/>
      <c r="BX3" s="36"/>
      <c r="BY3" s="36"/>
      <c r="BZ3" s="37"/>
      <c r="CA3" s="8"/>
      <c r="CB3" s="8"/>
    </row>
    <row r="4" spans="1:80" ht="13" customHeight="1" x14ac:dyDescent="0.2">
      <c r="A4" s="38"/>
      <c r="B4" s="39"/>
      <c r="C4" s="39"/>
      <c r="D4" s="39"/>
      <c r="E4" s="39"/>
      <c r="F4" s="39"/>
      <c r="G4" s="39"/>
      <c r="H4" s="40"/>
      <c r="I4" s="8"/>
      <c r="J4" s="47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"/>
      <c r="Z4" s="3"/>
      <c r="AB4" s="20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2"/>
      <c r="BC4" s="47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9"/>
      <c r="BR4" s="3"/>
      <c r="BS4" s="38"/>
      <c r="BT4" s="39"/>
      <c r="BU4" s="39"/>
      <c r="BV4" s="39"/>
      <c r="BW4" s="39"/>
      <c r="BX4" s="39"/>
      <c r="BY4" s="39"/>
      <c r="BZ4" s="40"/>
      <c r="CA4" s="8"/>
      <c r="CB4" s="8"/>
    </row>
    <row r="5" spans="1:80" ht="13" customHeight="1" x14ac:dyDescent="0.2">
      <c r="A5" s="38"/>
      <c r="B5" s="39"/>
      <c r="C5" s="39"/>
      <c r="D5" s="39"/>
      <c r="E5" s="39"/>
      <c r="F5" s="39"/>
      <c r="G5" s="39"/>
      <c r="H5" s="40"/>
      <c r="I5" s="8"/>
      <c r="J5" s="47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9"/>
      <c r="Y5" s="3"/>
      <c r="Z5" s="3"/>
      <c r="AB5" s="20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2"/>
      <c r="BC5" s="47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9"/>
      <c r="BR5" s="3"/>
      <c r="BS5" s="38"/>
      <c r="BT5" s="39"/>
      <c r="BU5" s="39"/>
      <c r="BV5" s="39"/>
      <c r="BW5" s="39"/>
      <c r="BX5" s="39"/>
      <c r="BY5" s="39"/>
      <c r="BZ5" s="40"/>
      <c r="CA5" s="8"/>
      <c r="CB5" s="8"/>
    </row>
    <row r="6" spans="1:80" ht="13" customHeight="1" x14ac:dyDescent="0.2">
      <c r="A6" s="38"/>
      <c r="B6" s="39"/>
      <c r="C6" s="39"/>
      <c r="D6" s="39"/>
      <c r="E6" s="39"/>
      <c r="F6" s="39"/>
      <c r="G6" s="39"/>
      <c r="H6" s="40"/>
      <c r="I6" s="8"/>
      <c r="J6" s="47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9"/>
      <c r="Y6" s="3"/>
      <c r="Z6" s="3"/>
      <c r="AB6" s="20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2"/>
      <c r="BC6" s="47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9"/>
      <c r="BR6" s="3"/>
      <c r="BS6" s="38"/>
      <c r="BT6" s="39"/>
      <c r="BU6" s="39"/>
      <c r="BV6" s="39"/>
      <c r="BW6" s="39"/>
      <c r="BX6" s="39"/>
      <c r="BY6" s="39"/>
      <c r="BZ6" s="40"/>
      <c r="CA6" s="8"/>
      <c r="CB6" s="8"/>
    </row>
    <row r="7" spans="1:80" ht="13" customHeight="1" x14ac:dyDescent="0.2">
      <c r="A7" s="38"/>
      <c r="B7" s="39"/>
      <c r="C7" s="39"/>
      <c r="D7" s="39"/>
      <c r="E7" s="39"/>
      <c r="F7" s="39"/>
      <c r="G7" s="39"/>
      <c r="H7" s="40"/>
      <c r="I7" s="8"/>
      <c r="J7" s="47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9"/>
      <c r="Y7" s="3"/>
      <c r="Z7" s="3"/>
      <c r="AB7" s="20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2"/>
      <c r="BC7" s="47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9"/>
      <c r="BR7" s="3"/>
      <c r="BS7" s="38"/>
      <c r="BT7" s="39"/>
      <c r="BU7" s="39"/>
      <c r="BV7" s="39"/>
      <c r="BW7" s="39"/>
      <c r="BX7" s="39"/>
      <c r="BY7" s="39"/>
      <c r="BZ7" s="40"/>
      <c r="CA7" s="8"/>
      <c r="CB7" s="8"/>
    </row>
    <row r="8" spans="1:80" ht="13" customHeight="1" thickBot="1" x14ac:dyDescent="0.25">
      <c r="A8" s="38"/>
      <c r="B8" s="39"/>
      <c r="C8" s="39"/>
      <c r="D8" s="39"/>
      <c r="E8" s="39"/>
      <c r="F8" s="39"/>
      <c r="G8" s="39"/>
      <c r="H8" s="40"/>
      <c r="I8" s="8"/>
      <c r="J8" s="50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2"/>
      <c r="Y8" s="3"/>
      <c r="Z8" s="3"/>
      <c r="AB8" s="20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2"/>
      <c r="BC8" s="50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2"/>
      <c r="BR8" s="3"/>
      <c r="BS8" s="38"/>
      <c r="BT8" s="39"/>
      <c r="BU8" s="39"/>
      <c r="BV8" s="39"/>
      <c r="BW8" s="39"/>
      <c r="BX8" s="39"/>
      <c r="BY8" s="39"/>
      <c r="BZ8" s="40"/>
      <c r="CA8" s="8"/>
      <c r="CB8" s="8"/>
    </row>
    <row r="9" spans="1:80" ht="13" customHeight="1" thickBot="1" x14ac:dyDescent="0.25">
      <c r="A9" s="38"/>
      <c r="B9" s="39"/>
      <c r="C9" s="39"/>
      <c r="D9" s="39"/>
      <c r="E9" s="39"/>
      <c r="F9" s="39"/>
      <c r="G9" s="39"/>
      <c r="H9" s="40"/>
      <c r="I9" s="8"/>
      <c r="J9" s="8"/>
      <c r="AB9" s="20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2"/>
      <c r="BS9" s="38"/>
      <c r="BT9" s="39"/>
      <c r="BU9" s="39"/>
      <c r="BV9" s="39"/>
      <c r="BW9" s="39"/>
      <c r="BX9" s="39"/>
      <c r="BY9" s="39"/>
      <c r="BZ9" s="40"/>
      <c r="CA9" s="8"/>
      <c r="CB9" s="8"/>
    </row>
    <row r="10" spans="1:80" ht="13" customHeight="1" x14ac:dyDescent="0.2">
      <c r="A10" s="38"/>
      <c r="B10" s="39"/>
      <c r="C10" s="39"/>
      <c r="D10" s="39"/>
      <c r="E10" s="39"/>
      <c r="F10" s="39"/>
      <c r="G10" s="39"/>
      <c r="H10" s="40"/>
      <c r="I10" s="8"/>
      <c r="J10" s="44" t="s">
        <v>1</v>
      </c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6"/>
      <c r="Y10" s="3"/>
      <c r="Z10" s="3"/>
      <c r="AB10" s="20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2"/>
      <c r="BC10" s="44" t="s">
        <v>1</v>
      </c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6"/>
      <c r="BR10" s="3"/>
      <c r="BS10" s="38"/>
      <c r="BT10" s="39"/>
      <c r="BU10" s="39"/>
      <c r="BV10" s="39"/>
      <c r="BW10" s="39"/>
      <c r="BX10" s="39"/>
      <c r="BY10" s="39"/>
      <c r="BZ10" s="40"/>
      <c r="CA10" s="8"/>
      <c r="CB10" s="8"/>
    </row>
    <row r="11" spans="1:80" ht="13" customHeight="1" x14ac:dyDescent="0.2">
      <c r="A11" s="38"/>
      <c r="B11" s="39"/>
      <c r="C11" s="39"/>
      <c r="D11" s="39"/>
      <c r="E11" s="39"/>
      <c r="F11" s="39"/>
      <c r="G11" s="39"/>
      <c r="H11" s="40"/>
      <c r="I11" s="8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9"/>
      <c r="Y11" s="3"/>
      <c r="Z11" s="3"/>
      <c r="AB11" s="20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2"/>
      <c r="BC11" s="47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9"/>
      <c r="BR11" s="3"/>
      <c r="BS11" s="38"/>
      <c r="BT11" s="39"/>
      <c r="BU11" s="39"/>
      <c r="BV11" s="39"/>
      <c r="BW11" s="39"/>
      <c r="BX11" s="39"/>
      <c r="BY11" s="39"/>
      <c r="BZ11" s="40"/>
      <c r="CA11" s="8"/>
      <c r="CB11" s="8"/>
    </row>
    <row r="12" spans="1:80" ht="13" customHeight="1" x14ac:dyDescent="0.2">
      <c r="A12" s="38"/>
      <c r="B12" s="39"/>
      <c r="C12" s="39"/>
      <c r="D12" s="39"/>
      <c r="E12" s="39"/>
      <c r="F12" s="39"/>
      <c r="G12" s="39"/>
      <c r="H12" s="40"/>
      <c r="I12" s="8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9"/>
      <c r="Y12" s="3"/>
      <c r="Z12" s="3"/>
      <c r="AB12" s="20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2"/>
      <c r="BC12" s="47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9"/>
      <c r="BR12" s="3"/>
      <c r="BS12" s="38"/>
      <c r="BT12" s="39"/>
      <c r="BU12" s="39"/>
      <c r="BV12" s="39"/>
      <c r="BW12" s="39"/>
      <c r="BX12" s="39"/>
      <c r="BY12" s="39"/>
      <c r="BZ12" s="40"/>
      <c r="CA12" s="8"/>
      <c r="CB12" s="8"/>
    </row>
    <row r="13" spans="1:80" ht="13" customHeight="1" x14ac:dyDescent="0.2">
      <c r="A13" s="38"/>
      <c r="B13" s="39"/>
      <c r="C13" s="39"/>
      <c r="D13" s="39"/>
      <c r="E13" s="39"/>
      <c r="F13" s="39"/>
      <c r="G13" s="39"/>
      <c r="H13" s="40"/>
      <c r="I13" s="8"/>
      <c r="J13" s="47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9"/>
      <c r="Y13" s="3"/>
      <c r="Z13" s="3"/>
      <c r="AB13" s="20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2"/>
      <c r="BC13" s="47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9"/>
      <c r="BR13" s="3"/>
      <c r="BS13" s="38"/>
      <c r="BT13" s="39"/>
      <c r="BU13" s="39"/>
      <c r="BV13" s="39"/>
      <c r="BW13" s="39"/>
      <c r="BX13" s="39"/>
      <c r="BY13" s="39"/>
      <c r="BZ13" s="40"/>
      <c r="CA13" s="8"/>
      <c r="CB13" s="8"/>
    </row>
    <row r="14" spans="1:80" ht="13" customHeight="1" x14ac:dyDescent="0.2">
      <c r="A14" s="38"/>
      <c r="B14" s="39"/>
      <c r="C14" s="39"/>
      <c r="D14" s="39"/>
      <c r="E14" s="39"/>
      <c r="F14" s="39"/>
      <c r="G14" s="39"/>
      <c r="H14" s="40"/>
      <c r="I14" s="8"/>
      <c r="J14" s="4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9"/>
      <c r="Y14" s="3"/>
      <c r="Z14" s="3"/>
      <c r="AB14" s="20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2"/>
      <c r="BC14" s="47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9"/>
      <c r="BR14" s="3"/>
      <c r="BS14" s="38"/>
      <c r="BT14" s="39"/>
      <c r="BU14" s="39"/>
      <c r="BV14" s="39"/>
      <c r="BW14" s="39"/>
      <c r="BX14" s="39"/>
      <c r="BY14" s="39"/>
      <c r="BZ14" s="40"/>
      <c r="CA14" s="8"/>
      <c r="CB14" s="8"/>
    </row>
    <row r="15" spans="1:80" ht="13" customHeight="1" x14ac:dyDescent="0.2">
      <c r="A15" s="38"/>
      <c r="B15" s="39"/>
      <c r="C15" s="39"/>
      <c r="D15" s="39"/>
      <c r="E15" s="39"/>
      <c r="F15" s="39"/>
      <c r="G15" s="39"/>
      <c r="H15" s="40"/>
      <c r="I15" s="8"/>
      <c r="J15" s="47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9"/>
      <c r="Y15" s="3"/>
      <c r="Z15" s="3"/>
      <c r="AB15" s="20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2"/>
      <c r="BC15" s="47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9"/>
      <c r="BR15" s="3"/>
      <c r="BS15" s="38"/>
      <c r="BT15" s="39"/>
      <c r="BU15" s="39"/>
      <c r="BV15" s="39"/>
      <c r="BW15" s="39"/>
      <c r="BX15" s="39"/>
      <c r="BY15" s="39"/>
      <c r="BZ15" s="40"/>
      <c r="CA15" s="8"/>
      <c r="CB15" s="8"/>
    </row>
    <row r="16" spans="1:80" ht="13" customHeight="1" thickBot="1" x14ac:dyDescent="0.25">
      <c r="A16" s="38"/>
      <c r="B16" s="39"/>
      <c r="C16" s="39"/>
      <c r="D16" s="39"/>
      <c r="E16" s="39"/>
      <c r="F16" s="39"/>
      <c r="G16" s="39"/>
      <c r="H16" s="40"/>
      <c r="I16" s="8"/>
      <c r="J16" s="50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2"/>
      <c r="Y16" s="3"/>
      <c r="Z16" s="3"/>
      <c r="AB16" s="20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2"/>
      <c r="BC16" s="50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2"/>
      <c r="BR16" s="3"/>
      <c r="BS16" s="38"/>
      <c r="BT16" s="39"/>
      <c r="BU16" s="39"/>
      <c r="BV16" s="39"/>
      <c r="BW16" s="39"/>
      <c r="BX16" s="39"/>
      <c r="BY16" s="39"/>
      <c r="BZ16" s="40"/>
      <c r="CA16" s="8"/>
      <c r="CB16" s="8"/>
    </row>
    <row r="17" spans="1:149" ht="13" customHeight="1" thickBot="1" x14ac:dyDescent="0.25">
      <c r="A17" s="38"/>
      <c r="B17" s="39"/>
      <c r="C17" s="39"/>
      <c r="D17" s="39"/>
      <c r="E17" s="39"/>
      <c r="F17" s="39"/>
      <c r="G17" s="39"/>
      <c r="H17" s="40"/>
      <c r="I17" s="8"/>
      <c r="J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B17" s="20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2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S17" s="38"/>
      <c r="BT17" s="39"/>
      <c r="BU17" s="39"/>
      <c r="BV17" s="39"/>
      <c r="BW17" s="39"/>
      <c r="BX17" s="39"/>
      <c r="BY17" s="39"/>
      <c r="BZ17" s="40"/>
      <c r="CA17" s="8"/>
      <c r="CB17" s="8"/>
    </row>
    <row r="18" spans="1:149" ht="13" customHeight="1" x14ac:dyDescent="0.2">
      <c r="A18" s="38"/>
      <c r="B18" s="39"/>
      <c r="C18" s="39"/>
      <c r="D18" s="39"/>
      <c r="E18" s="39"/>
      <c r="F18" s="39"/>
      <c r="G18" s="39"/>
      <c r="H18" s="40"/>
      <c r="I18" s="8"/>
      <c r="J18" s="44" t="s">
        <v>10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6"/>
      <c r="Y18" s="3"/>
      <c r="Z18" s="3"/>
      <c r="AB18" s="20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2"/>
      <c r="BC18" s="44" t="s">
        <v>10</v>
      </c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6"/>
      <c r="BR18" s="3"/>
      <c r="BS18" s="38"/>
      <c r="BT18" s="39"/>
      <c r="BU18" s="39"/>
      <c r="BV18" s="39"/>
      <c r="BW18" s="39"/>
      <c r="BX18" s="39"/>
      <c r="BY18" s="39"/>
      <c r="BZ18" s="40"/>
      <c r="CA18" s="8"/>
      <c r="CB18" s="8"/>
    </row>
    <row r="19" spans="1:149" ht="13" customHeight="1" x14ac:dyDescent="0.2">
      <c r="A19" s="38"/>
      <c r="B19" s="39"/>
      <c r="C19" s="39"/>
      <c r="D19" s="39"/>
      <c r="E19" s="39"/>
      <c r="F19" s="39"/>
      <c r="G19" s="39"/>
      <c r="H19" s="40"/>
      <c r="I19" s="8"/>
      <c r="J19" s="47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9"/>
      <c r="Y19" s="3"/>
      <c r="Z19" s="3"/>
      <c r="AB19" s="20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2"/>
      <c r="BC19" s="47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9"/>
      <c r="BR19" s="3"/>
      <c r="BS19" s="38"/>
      <c r="BT19" s="39"/>
      <c r="BU19" s="39"/>
      <c r="BV19" s="39"/>
      <c r="BW19" s="39"/>
      <c r="BX19" s="39"/>
      <c r="BY19" s="39"/>
      <c r="BZ19" s="40"/>
      <c r="CA19" s="8"/>
      <c r="CB19" s="8"/>
    </row>
    <row r="20" spans="1:149" ht="13" customHeight="1" x14ac:dyDescent="0.2">
      <c r="A20" s="38"/>
      <c r="B20" s="39"/>
      <c r="C20" s="39"/>
      <c r="D20" s="39"/>
      <c r="E20" s="39"/>
      <c r="F20" s="39"/>
      <c r="G20" s="39"/>
      <c r="H20" s="40"/>
      <c r="I20" s="8"/>
      <c r="J20" s="47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9"/>
      <c r="Y20" s="3"/>
      <c r="Z20" s="3"/>
      <c r="AB20" s="20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2"/>
      <c r="BC20" s="47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9"/>
      <c r="BR20" s="3"/>
      <c r="BS20" s="38"/>
      <c r="BT20" s="39"/>
      <c r="BU20" s="39"/>
      <c r="BV20" s="39"/>
      <c r="BW20" s="39"/>
      <c r="BX20" s="39"/>
      <c r="BY20" s="39"/>
      <c r="BZ20" s="40"/>
      <c r="CA20" s="8"/>
      <c r="CB20" s="8"/>
    </row>
    <row r="21" spans="1:149" ht="13" customHeight="1" x14ac:dyDescent="0.2">
      <c r="A21" s="38"/>
      <c r="B21" s="39"/>
      <c r="C21" s="39"/>
      <c r="D21" s="39"/>
      <c r="E21" s="39"/>
      <c r="F21" s="39"/>
      <c r="G21" s="39"/>
      <c r="H21" s="40"/>
      <c r="I21" s="8"/>
      <c r="J21" s="47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9"/>
      <c r="Y21" s="3"/>
      <c r="Z21" s="3"/>
      <c r="AB21" s="20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2"/>
      <c r="BC21" s="47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9"/>
      <c r="BR21" s="3"/>
      <c r="BS21" s="38"/>
      <c r="BT21" s="39"/>
      <c r="BU21" s="39"/>
      <c r="BV21" s="39"/>
      <c r="BW21" s="39"/>
      <c r="BX21" s="39"/>
      <c r="BY21" s="39"/>
      <c r="BZ21" s="40"/>
      <c r="CA21" s="8"/>
      <c r="CB21" s="8"/>
    </row>
    <row r="22" spans="1:149" ht="13" customHeight="1" thickBot="1" x14ac:dyDescent="0.25">
      <c r="A22" s="41"/>
      <c r="B22" s="42"/>
      <c r="C22" s="42"/>
      <c r="D22" s="42"/>
      <c r="E22" s="42"/>
      <c r="F22" s="42"/>
      <c r="G22" s="42"/>
      <c r="H22" s="43"/>
      <c r="I22" s="8"/>
      <c r="J22" s="47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9"/>
      <c r="Y22" s="3"/>
      <c r="Z22" s="3"/>
      <c r="AB22" s="20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2"/>
      <c r="BC22" s="47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9"/>
      <c r="BR22" s="3"/>
      <c r="BS22" s="41"/>
      <c r="BT22" s="42"/>
      <c r="BU22" s="42"/>
      <c r="BV22" s="42"/>
      <c r="BW22" s="42"/>
      <c r="BX22" s="42"/>
      <c r="BY22" s="42"/>
      <c r="BZ22" s="43"/>
      <c r="CA22" s="8"/>
      <c r="CB22" s="8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8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8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P22" s="11"/>
      <c r="EQ22" s="11"/>
      <c r="ER22" s="11"/>
      <c r="ES22" s="11"/>
    </row>
    <row r="23" spans="1:149" ht="13" customHeight="1" x14ac:dyDescent="0.2">
      <c r="A23" s="2"/>
      <c r="J23" s="47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9"/>
      <c r="Y23" s="3"/>
      <c r="Z23" s="3"/>
      <c r="AB23" s="20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2"/>
      <c r="BC23" s="47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9"/>
      <c r="BR23" s="3"/>
      <c r="BZ23" s="10"/>
    </row>
    <row r="24" spans="1:149" ht="13" customHeight="1" thickBot="1" x14ac:dyDescent="0.25">
      <c r="A24" s="2"/>
      <c r="J24" s="50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2"/>
      <c r="Y24" s="3"/>
      <c r="Z24" s="3"/>
      <c r="AB24" s="23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5"/>
      <c r="BC24" s="50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2"/>
      <c r="BR24" s="3"/>
      <c r="BZ24" s="10"/>
    </row>
    <row r="25" spans="1:149" ht="13" customHeight="1" thickBot="1" x14ac:dyDescent="0.25">
      <c r="A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BZ25" s="10"/>
    </row>
    <row r="26" spans="1:149" ht="13" customHeight="1" x14ac:dyDescent="0.2">
      <c r="A26" s="26" t="s">
        <v>6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8"/>
      <c r="P26" s="13"/>
      <c r="Q26" s="26" t="s">
        <v>5</v>
      </c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8"/>
      <c r="AF26" s="11"/>
      <c r="AG26" s="26" t="s">
        <v>11</v>
      </c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8"/>
      <c r="AU26" s="13"/>
      <c r="AV26" s="26" t="s">
        <v>13</v>
      </c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8"/>
      <c r="BK26" s="13"/>
      <c r="BL26" s="26" t="s">
        <v>9</v>
      </c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3"/>
      <c r="CB26" s="13"/>
    </row>
    <row r="27" spans="1:149" ht="13" customHeight="1" x14ac:dyDescent="0.2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1"/>
      <c r="P27" s="13"/>
      <c r="Q27" s="29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1"/>
      <c r="AF27" s="11"/>
      <c r="AG27" s="29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1"/>
      <c r="AU27" s="13"/>
      <c r="AV27" s="29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1"/>
      <c r="BK27" s="13"/>
      <c r="BL27" s="29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1"/>
      <c r="CA27" s="13"/>
      <c r="CB27" s="13"/>
    </row>
    <row r="28" spans="1:149" ht="13" customHeight="1" x14ac:dyDescent="0.2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1"/>
      <c r="P28" s="13"/>
      <c r="Q28" s="29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1"/>
      <c r="AF28" s="11"/>
      <c r="AG28" s="29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1"/>
      <c r="AU28" s="13"/>
      <c r="AV28" s="29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1"/>
      <c r="BK28" s="13"/>
      <c r="BL28" s="29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1"/>
      <c r="CA28" s="13"/>
      <c r="CB28" s="13"/>
    </row>
    <row r="29" spans="1:149" ht="13" customHeight="1" x14ac:dyDescent="0.2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1"/>
      <c r="P29" s="13"/>
      <c r="Q29" s="29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1"/>
      <c r="AF29" s="11"/>
      <c r="AG29" s="29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1"/>
      <c r="AU29" s="13"/>
      <c r="AV29" s="29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1"/>
      <c r="BK29" s="13"/>
      <c r="BL29" s="29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1"/>
      <c r="CA29" s="13"/>
      <c r="CB29" s="13"/>
    </row>
    <row r="30" spans="1:149" ht="13" customHeight="1" x14ac:dyDescent="0.2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  <c r="P30" s="13"/>
      <c r="Q30" s="29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1"/>
      <c r="AF30" s="11"/>
      <c r="AG30" s="29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1"/>
      <c r="AU30" s="13"/>
      <c r="AV30" s="29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1"/>
      <c r="BK30" s="13"/>
      <c r="BL30" s="29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1"/>
      <c r="CA30" s="13"/>
      <c r="CB30" s="13"/>
    </row>
    <row r="31" spans="1:149" ht="13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1"/>
      <c r="P31" s="13"/>
      <c r="Q31" s="29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1"/>
      <c r="AF31" s="11"/>
      <c r="AG31" s="29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1"/>
      <c r="AU31" s="13"/>
      <c r="AV31" s="29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1"/>
      <c r="BK31" s="13"/>
      <c r="BL31" s="29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1"/>
      <c r="CA31" s="13"/>
      <c r="CB31" s="13"/>
    </row>
    <row r="32" spans="1:149" ht="13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1"/>
      <c r="P32" s="13"/>
      <c r="Q32" s="29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1"/>
      <c r="AF32" s="11"/>
      <c r="AG32" s="29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1"/>
      <c r="AU32" s="13"/>
      <c r="AV32" s="29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1"/>
      <c r="BK32" s="13"/>
      <c r="BL32" s="29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1"/>
      <c r="CA32" s="13"/>
      <c r="CB32" s="13"/>
    </row>
    <row r="33" spans="1:80" ht="13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13"/>
      <c r="Q33" s="29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1"/>
      <c r="AF33" s="11"/>
      <c r="AG33" s="29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1"/>
      <c r="AU33" s="13"/>
      <c r="AV33" s="29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1"/>
      <c r="BK33" s="13"/>
      <c r="BL33" s="29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1"/>
      <c r="CA33" s="13"/>
      <c r="CB33" s="13"/>
    </row>
    <row r="34" spans="1:80" ht="13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1"/>
      <c r="P34" s="13"/>
      <c r="Q34" s="29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1"/>
      <c r="AF34" s="11"/>
      <c r="AG34" s="29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1"/>
      <c r="AU34" s="13"/>
      <c r="AV34" s="29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1"/>
      <c r="BK34" s="13"/>
      <c r="BL34" s="29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1"/>
      <c r="CA34" s="13"/>
      <c r="CB34" s="13"/>
    </row>
    <row r="35" spans="1:80" ht="13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1"/>
      <c r="P35" s="13"/>
      <c r="Q35" s="29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1"/>
      <c r="AF35" s="11"/>
      <c r="AG35" s="29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1"/>
      <c r="AU35" s="13"/>
      <c r="AV35" s="29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1"/>
      <c r="BK35" s="13"/>
      <c r="BL35" s="29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1"/>
      <c r="CA35" s="13"/>
      <c r="CB35" s="13"/>
    </row>
    <row r="36" spans="1:80" ht="13" customHeight="1" thickBot="1" x14ac:dyDescent="0.25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  <c r="P36" s="13"/>
      <c r="Q36" s="32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4"/>
      <c r="AF36" s="11"/>
      <c r="AG36" s="32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4"/>
      <c r="AU36" s="13"/>
      <c r="AV36" s="32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4"/>
      <c r="BK36" s="13"/>
      <c r="BL36" s="32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4"/>
      <c r="CA36" s="13"/>
      <c r="CB36" s="13"/>
    </row>
    <row r="37" spans="1:80" ht="13" customHeight="1" thickBot="1" x14ac:dyDescent="0.25">
      <c r="A37" s="2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Z37" s="10"/>
    </row>
    <row r="38" spans="1:80" ht="13" customHeight="1" x14ac:dyDescent="0.2">
      <c r="A38" s="26" t="s">
        <v>7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8"/>
      <c r="P38" s="13"/>
      <c r="Q38" s="62" t="s">
        <v>8</v>
      </c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4"/>
      <c r="AF38" s="11"/>
      <c r="AG38" s="26" t="s">
        <v>12</v>
      </c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8"/>
      <c r="AU38" s="13"/>
      <c r="AV38" s="53" t="s">
        <v>4</v>
      </c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5"/>
      <c r="BK38" s="13"/>
      <c r="BL38" s="53" t="s">
        <v>3</v>
      </c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5"/>
      <c r="CA38" s="13"/>
      <c r="CB38" s="13"/>
    </row>
    <row r="39" spans="1:80" ht="13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13"/>
      <c r="Q39" s="65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7"/>
      <c r="AF39" s="11"/>
      <c r="AG39" s="29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1"/>
      <c r="AU39" s="13"/>
      <c r="AV39" s="56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8"/>
      <c r="BK39" s="13"/>
      <c r="BL39" s="56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8"/>
      <c r="CA39" s="13"/>
      <c r="CB39" s="13"/>
    </row>
    <row r="40" spans="1:80" ht="13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1"/>
      <c r="P40" s="13"/>
      <c r="Q40" s="65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7"/>
      <c r="AF40" s="11"/>
      <c r="AG40" s="29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1"/>
      <c r="AU40" s="13"/>
      <c r="AV40" s="56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8"/>
      <c r="BK40" s="13"/>
      <c r="BL40" s="56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8"/>
      <c r="CA40" s="13"/>
      <c r="CB40" s="13"/>
    </row>
    <row r="41" spans="1:80" ht="13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1"/>
      <c r="P41" s="13"/>
      <c r="Q41" s="65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7"/>
      <c r="AF41" s="11"/>
      <c r="AG41" s="29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1"/>
      <c r="AU41" s="13"/>
      <c r="AV41" s="56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8"/>
      <c r="BK41" s="13"/>
      <c r="BL41" s="56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8"/>
      <c r="CA41" s="13"/>
      <c r="CB41" s="13"/>
    </row>
    <row r="42" spans="1:80" ht="13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1"/>
      <c r="P42" s="13"/>
      <c r="Q42" s="65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7"/>
      <c r="AF42" s="11"/>
      <c r="AG42" s="29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1"/>
      <c r="AU42" s="13"/>
      <c r="AV42" s="56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8"/>
      <c r="BK42" s="13"/>
      <c r="BL42" s="56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8"/>
      <c r="CA42" s="13"/>
      <c r="CB42" s="13"/>
    </row>
    <row r="43" spans="1:80" ht="13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1"/>
      <c r="P43" s="13"/>
      <c r="Q43" s="65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7"/>
      <c r="AF43" s="11"/>
      <c r="AG43" s="29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1"/>
      <c r="AU43" s="13"/>
      <c r="AV43" s="56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8"/>
      <c r="BK43" s="13"/>
      <c r="BL43" s="56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8"/>
      <c r="CA43" s="13"/>
      <c r="CB43" s="13"/>
    </row>
    <row r="44" spans="1:80" ht="13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1"/>
      <c r="P44" s="13"/>
      <c r="Q44" s="65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7"/>
      <c r="AF44" s="11"/>
      <c r="AG44" s="29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1"/>
      <c r="AU44" s="13"/>
      <c r="AV44" s="56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8"/>
      <c r="BK44" s="13"/>
      <c r="BL44" s="56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8"/>
      <c r="CA44" s="13"/>
      <c r="CB44" s="13"/>
    </row>
    <row r="45" spans="1:80" ht="13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1"/>
      <c r="P45" s="13"/>
      <c r="Q45" s="65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7"/>
      <c r="AF45" s="11"/>
      <c r="AG45" s="29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1"/>
      <c r="AU45" s="13"/>
      <c r="AV45" s="56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8"/>
      <c r="BK45" s="13"/>
      <c r="BL45" s="56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8"/>
      <c r="CA45" s="13"/>
      <c r="CB45" s="13"/>
    </row>
    <row r="46" spans="1:80" ht="13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1"/>
      <c r="P46" s="13"/>
      <c r="Q46" s="65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7"/>
      <c r="AF46" s="11"/>
      <c r="AG46" s="29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1"/>
      <c r="AU46" s="13"/>
      <c r="AV46" s="56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8"/>
      <c r="BK46" s="13"/>
      <c r="BL46" s="56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8"/>
      <c r="CA46" s="13"/>
      <c r="CB46" s="13"/>
    </row>
    <row r="47" spans="1:80" ht="13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13"/>
      <c r="Q47" s="65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7"/>
      <c r="AF47" s="11"/>
      <c r="AG47" s="29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1"/>
      <c r="AU47" s="13"/>
      <c r="AV47" s="56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8"/>
      <c r="BK47" s="13"/>
      <c r="BL47" s="56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8"/>
      <c r="CA47" s="13"/>
      <c r="CB47" s="13"/>
    </row>
    <row r="48" spans="1:80" ht="13" customHeight="1" thickBot="1" x14ac:dyDescent="0.25">
      <c r="A48" s="32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  <c r="P48" s="14"/>
      <c r="Q48" s="68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70"/>
      <c r="AF48" s="12"/>
      <c r="AG48" s="32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4"/>
      <c r="AU48" s="14"/>
      <c r="AV48" s="59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1"/>
      <c r="BK48" s="14"/>
      <c r="BL48" s="59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1"/>
      <c r="CA48" s="13"/>
      <c r="CB48" s="13"/>
    </row>
  </sheetData>
  <mergeCells count="19">
    <mergeCell ref="AV38:BJ48"/>
    <mergeCell ref="BL38:BZ48"/>
    <mergeCell ref="AG38:AT48"/>
    <mergeCell ref="A38:O48"/>
    <mergeCell ref="Q38:AE48"/>
    <mergeCell ref="AB1:AZ24"/>
    <mergeCell ref="BL26:BZ36"/>
    <mergeCell ref="AV26:BJ36"/>
    <mergeCell ref="AG26:AT36"/>
    <mergeCell ref="A3:H22"/>
    <mergeCell ref="J2:X8"/>
    <mergeCell ref="J10:X16"/>
    <mergeCell ref="J18:X24"/>
    <mergeCell ref="BS3:BZ22"/>
    <mergeCell ref="A26:O36"/>
    <mergeCell ref="Q26:AE36"/>
    <mergeCell ref="BC10:BQ16"/>
    <mergeCell ref="BC18:BQ24"/>
    <mergeCell ref="BC2:BQ8"/>
  </mergeCells>
  <pageMargins left="0.7" right="0.7" top="0.75" bottom="0.75" header="0.3" footer="0.3"/>
  <pageSetup scale="67" orientation="landscape" horizontalDpi="0" verticalDpi="0" copies="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CF35-5029-1141-B4DF-2E7F2BCDB4EE}">
  <dimension ref="A1:P44"/>
  <sheetViews>
    <sheetView zoomScale="99" zoomScaleNormal="99" workbookViewId="0">
      <selection activeCell="L21" sqref="L21"/>
    </sheetView>
  </sheetViews>
  <sheetFormatPr baseColWidth="10" defaultRowHeight="16" x14ac:dyDescent="0.2"/>
  <cols>
    <col min="2" max="2" width="15.5" customWidth="1"/>
    <col min="3" max="3" width="12.1640625" bestFit="1" customWidth="1"/>
    <col min="5" max="5" width="12.1640625" bestFit="1" customWidth="1"/>
    <col min="13" max="13" width="12.83203125" bestFit="1" customWidth="1"/>
  </cols>
  <sheetData>
    <row r="1" spans="1:16" x14ac:dyDescent="0.2">
      <c r="A1" t="s">
        <v>14</v>
      </c>
      <c r="B1" s="15">
        <v>289.5</v>
      </c>
      <c r="C1">
        <f>B1/1000000000</f>
        <v>2.8949999999999999E-7</v>
      </c>
      <c r="G1" t="s">
        <v>14</v>
      </c>
      <c r="H1">
        <v>147</v>
      </c>
      <c r="K1">
        <f>B1+B2</f>
        <v>289.5</v>
      </c>
    </row>
    <row r="2" spans="1:16" x14ac:dyDescent="0.2">
      <c r="A2" t="s">
        <v>15</v>
      </c>
      <c r="B2" s="15"/>
      <c r="C2">
        <f>B2/1000000000</f>
        <v>0</v>
      </c>
      <c r="G2" t="s">
        <v>15</v>
      </c>
      <c r="H2">
        <v>142</v>
      </c>
    </row>
    <row r="3" spans="1:16" x14ac:dyDescent="0.2">
      <c r="A3" t="s">
        <v>16</v>
      </c>
      <c r="B3">
        <v>1100</v>
      </c>
      <c r="G3" t="s">
        <v>16</v>
      </c>
      <c r="H3">
        <v>1100</v>
      </c>
    </row>
    <row r="4" spans="1:16" x14ac:dyDescent="0.2">
      <c r="A4" t="s">
        <v>17</v>
      </c>
      <c r="B4">
        <v>99.12</v>
      </c>
      <c r="C4">
        <f>B4/1000000000</f>
        <v>9.9120000000000003E-8</v>
      </c>
    </row>
    <row r="5" spans="1:16" x14ac:dyDescent="0.2">
      <c r="A5" t="s">
        <v>18</v>
      </c>
      <c r="B5">
        <v>7562</v>
      </c>
    </row>
    <row r="6" spans="1:16" x14ac:dyDescent="0.2">
      <c r="A6" t="s">
        <v>20</v>
      </c>
      <c r="B6">
        <v>3.1415926535000001</v>
      </c>
    </row>
    <row r="7" spans="1:16" x14ac:dyDescent="0.2">
      <c r="J7">
        <v>0.44900000000000001</v>
      </c>
      <c r="L7">
        <v>0.128</v>
      </c>
    </row>
    <row r="8" spans="1:16" x14ac:dyDescent="0.2">
      <c r="A8" t="s">
        <v>19</v>
      </c>
      <c r="B8">
        <f>1/(2*B6*B3*(C1+C2))</f>
        <v>499.78000658327625</v>
      </c>
      <c r="C8">
        <f>ABS(100-100*500/B8)</f>
        <v>4.4018050707492762E-2</v>
      </c>
      <c r="E8">
        <f>B3*(C1+C2)</f>
        <v>3.1845000000000002E-4</v>
      </c>
      <c r="F8" t="s">
        <v>23</v>
      </c>
      <c r="J8">
        <v>0.23499999999999999</v>
      </c>
      <c r="L8">
        <v>1.2999999999999999E-2</v>
      </c>
    </row>
    <row r="9" spans="1:16" x14ac:dyDescent="0.2">
      <c r="A9" t="s">
        <v>22</v>
      </c>
      <c r="B9">
        <f>B5*(C1+C2+B4)</f>
        <v>749545.44218919904</v>
      </c>
      <c r="E9">
        <f>B5*(C1+C2+C4)</f>
        <v>2.9387444400000001E-3</v>
      </c>
      <c r="J9">
        <v>0.42</v>
      </c>
      <c r="L9">
        <v>6</v>
      </c>
    </row>
    <row r="10" spans="1:16" x14ac:dyDescent="0.2">
      <c r="A10" t="s">
        <v>23</v>
      </c>
      <c r="B10">
        <f>B3*(C1+C2)</f>
        <v>3.1845000000000002E-4</v>
      </c>
      <c r="E10" s="15">
        <f>B5*B3*(C1+C2)*C4</f>
        <v>2.3869274536800001E-7</v>
      </c>
      <c r="F10" t="s">
        <v>24</v>
      </c>
    </row>
    <row r="11" spans="1:16" x14ac:dyDescent="0.2">
      <c r="A11" t="s">
        <v>24</v>
      </c>
      <c r="B11">
        <f>B3*B5*(C1+C2)*B4</f>
        <v>238.692745368</v>
      </c>
      <c r="E11" s="15">
        <f>E8+E9</f>
        <v>3.2571944400000001E-3</v>
      </c>
      <c r="F11" t="s">
        <v>22</v>
      </c>
    </row>
    <row r="13" spans="1:16" x14ac:dyDescent="0.2">
      <c r="A13" t="s">
        <v>25</v>
      </c>
      <c r="B13">
        <f>B9*B9-4*B11</f>
        <v>561818368951.83093</v>
      </c>
      <c r="O13" t="s">
        <v>34</v>
      </c>
      <c r="P13">
        <v>289.39999999999998</v>
      </c>
    </row>
    <row r="14" spans="1:16" x14ac:dyDescent="0.2">
      <c r="A14" t="s">
        <v>21</v>
      </c>
      <c r="B14">
        <f>B9+SQRT(B13)/2</f>
        <v>1124318.1629653485</v>
      </c>
    </row>
    <row r="15" spans="1:16" x14ac:dyDescent="0.2">
      <c r="A15" t="s">
        <v>26</v>
      </c>
      <c r="B15">
        <f>B9-SQRT(B13)/2</f>
        <v>374772.7214130495</v>
      </c>
      <c r="O15" t="s">
        <v>16</v>
      </c>
      <c r="P15">
        <v>1100</v>
      </c>
    </row>
    <row r="16" spans="1:16" x14ac:dyDescent="0.2">
      <c r="A16" t="s">
        <v>27</v>
      </c>
      <c r="B16">
        <f>-(-E11-SQRT(E11*E11-4*E10))/(2*E10)</f>
        <v>13331.722216640204</v>
      </c>
      <c r="O16" t="s">
        <v>17</v>
      </c>
      <c r="P16">
        <v>99.12</v>
      </c>
    </row>
    <row r="17" spans="1:16" x14ac:dyDescent="0.2">
      <c r="A17" t="s">
        <v>28</v>
      </c>
      <c r="B17">
        <f>-(-E11+SQRT(E11*E11-4*E10))/(2*E10)</f>
        <v>314.24944864137865</v>
      </c>
      <c r="O17" t="s">
        <v>18</v>
      </c>
      <c r="P17">
        <v>7569.8</v>
      </c>
    </row>
    <row r="18" spans="1:16" x14ac:dyDescent="0.2">
      <c r="A18" t="s">
        <v>29</v>
      </c>
      <c r="B18">
        <f>B16/(2*B6)</f>
        <v>2121.8094907669742</v>
      </c>
      <c r="C18">
        <f>ABS(100-100*2122/B18)</f>
        <v>8.9786210239282127E-3</v>
      </c>
    </row>
    <row r="19" spans="1:16" x14ac:dyDescent="0.2">
      <c r="A19" t="s">
        <v>30</v>
      </c>
      <c r="B19">
        <f>B17/(2*B6)</f>
        <v>50.014353116607616</v>
      </c>
      <c r="C19">
        <f>ABS(100-100*50/B19)</f>
        <v>2.8697995101836682E-2</v>
      </c>
    </row>
    <row r="20" spans="1:16" x14ac:dyDescent="0.2">
      <c r="G20">
        <v>289.5</v>
      </c>
      <c r="H20" s="15">
        <v>180</v>
      </c>
      <c r="I20">
        <f>G20-H20</f>
        <v>109.5</v>
      </c>
      <c r="J20" s="15">
        <v>100</v>
      </c>
      <c r="K20">
        <v>9.1</v>
      </c>
      <c r="L20" s="15">
        <v>9.1</v>
      </c>
      <c r="M20">
        <v>0</v>
      </c>
    </row>
    <row r="21" spans="1:16" x14ac:dyDescent="0.2">
      <c r="G21">
        <v>99.12</v>
      </c>
      <c r="H21" s="15">
        <v>91</v>
      </c>
      <c r="I21">
        <f>G21-H21</f>
        <v>8.1200000000000045</v>
      </c>
      <c r="J21" s="15">
        <v>7.5</v>
      </c>
      <c r="K21">
        <f>H21+J21</f>
        <v>98.5</v>
      </c>
      <c r="L21" s="15">
        <v>0.62</v>
      </c>
      <c r="M21">
        <f>H21+J21+L21</f>
        <v>99.12</v>
      </c>
      <c r="N21" s="15"/>
    </row>
    <row r="22" spans="1:16" x14ac:dyDescent="0.2">
      <c r="G22">
        <v>7562</v>
      </c>
      <c r="H22" s="15">
        <v>7500</v>
      </c>
      <c r="I22">
        <f>G22-H22</f>
        <v>62</v>
      </c>
      <c r="J22" s="15">
        <v>62</v>
      </c>
      <c r="K22">
        <f>I22-J22</f>
        <v>0</v>
      </c>
      <c r="L22" s="15">
        <v>200</v>
      </c>
    </row>
    <row r="23" spans="1:16" x14ac:dyDescent="0.2">
      <c r="H23" s="15"/>
      <c r="J23" s="15"/>
      <c r="L23" s="16"/>
    </row>
    <row r="24" spans="1:16" x14ac:dyDescent="0.2">
      <c r="L24" s="15"/>
    </row>
    <row r="27" spans="1:16" x14ac:dyDescent="0.2">
      <c r="F27" t="s">
        <v>14</v>
      </c>
      <c r="G27" t="s">
        <v>31</v>
      </c>
    </row>
    <row r="28" spans="1:16" x14ac:dyDescent="0.2">
      <c r="F28" t="s">
        <v>15</v>
      </c>
      <c r="G28" t="s">
        <v>32</v>
      </c>
    </row>
    <row r="29" spans="1:16" x14ac:dyDescent="0.2">
      <c r="A29" t="s">
        <v>48</v>
      </c>
      <c r="B29">
        <v>100</v>
      </c>
      <c r="F29" t="s">
        <v>16</v>
      </c>
      <c r="G29">
        <v>1100</v>
      </c>
    </row>
    <row r="30" spans="1:16" x14ac:dyDescent="0.2">
      <c r="A30" t="s">
        <v>49</v>
      </c>
      <c r="B30">
        <v>6800</v>
      </c>
      <c r="F30" t="s">
        <v>18</v>
      </c>
      <c r="G30" t="s">
        <v>33</v>
      </c>
      <c r="H30">
        <v>75</v>
      </c>
    </row>
    <row r="31" spans="1:16" x14ac:dyDescent="0.2">
      <c r="A31" t="s">
        <v>50</v>
      </c>
      <c r="B31">
        <f>B30/B29</f>
        <v>68</v>
      </c>
      <c r="F31" t="s">
        <v>17</v>
      </c>
      <c r="G31">
        <v>91</v>
      </c>
      <c r="H31">
        <v>7.5</v>
      </c>
    </row>
    <row r="32" spans="1:16" x14ac:dyDescent="0.2">
      <c r="B32">
        <f>20*LOG(B31)</f>
        <v>36.650178254124725</v>
      </c>
    </row>
    <row r="35" spans="1:4" x14ac:dyDescent="0.2">
      <c r="A35" t="s">
        <v>48</v>
      </c>
      <c r="B35">
        <v>100</v>
      </c>
    </row>
    <row r="36" spans="1:4" x14ac:dyDescent="0.2">
      <c r="A36" t="s">
        <v>49</v>
      </c>
      <c r="B36">
        <v>2200</v>
      </c>
    </row>
    <row r="37" spans="1:4" x14ac:dyDescent="0.2">
      <c r="A37" t="s">
        <v>50</v>
      </c>
      <c r="B37">
        <f>B36/B35</f>
        <v>22</v>
      </c>
    </row>
    <row r="38" spans="1:4" x14ac:dyDescent="0.2">
      <c r="B38">
        <f>20*LOG(B37)</f>
        <v>26.848453616444125</v>
      </c>
    </row>
    <row r="41" spans="1:4" x14ac:dyDescent="0.2">
      <c r="A41" t="s">
        <v>51</v>
      </c>
      <c r="B41">
        <v>20</v>
      </c>
    </row>
    <row r="42" spans="1:4" x14ac:dyDescent="0.2">
      <c r="A42" t="s">
        <v>52</v>
      </c>
      <c r="B42">
        <f>B31-B41</f>
        <v>48</v>
      </c>
    </row>
    <row r="43" spans="1:4" x14ac:dyDescent="0.2">
      <c r="A43" t="s">
        <v>53</v>
      </c>
      <c r="B43">
        <f>B32+B38-20</f>
        <v>43.49863187056885</v>
      </c>
    </row>
    <row r="44" spans="1:4" x14ac:dyDescent="0.2">
      <c r="B44">
        <f>POWER(10,B43/20)</f>
        <v>149.60000000000005</v>
      </c>
      <c r="C44">
        <f>0.005</f>
        <v>5.0000000000000001E-3</v>
      </c>
      <c r="D44">
        <f>C44*B44</f>
        <v>0.74800000000000022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E0F1-A93A-9F43-BDBD-4588F1939ECB}">
  <dimension ref="A1:F19"/>
  <sheetViews>
    <sheetView zoomScale="150" workbookViewId="0">
      <selection activeCell="D9" sqref="D9"/>
    </sheetView>
  </sheetViews>
  <sheetFormatPr baseColWidth="10" defaultRowHeight="16" x14ac:dyDescent="0.2"/>
  <cols>
    <col min="3" max="3" width="13.1640625" bestFit="1" customWidth="1"/>
    <col min="6" max="6" width="11" customWidth="1"/>
  </cols>
  <sheetData>
    <row r="1" spans="1:6" x14ac:dyDescent="0.2">
      <c r="A1" t="s">
        <v>35</v>
      </c>
    </row>
    <row r="3" spans="1:6" x14ac:dyDescent="0.2">
      <c r="B3" t="s">
        <v>37</v>
      </c>
      <c r="C3" t="s">
        <v>38</v>
      </c>
      <c r="D3" t="s">
        <v>39</v>
      </c>
      <c r="E3" t="s">
        <v>47</v>
      </c>
    </row>
    <row r="4" spans="1:6" x14ac:dyDescent="0.2">
      <c r="A4" t="s">
        <v>36</v>
      </c>
      <c r="B4">
        <v>4</v>
      </c>
      <c r="C4">
        <v>0.12</v>
      </c>
      <c r="D4">
        <v>60</v>
      </c>
      <c r="E4">
        <f t="shared" ref="E4:E19" si="0">C4*28316</f>
        <v>3397.92</v>
      </c>
      <c r="F4">
        <f t="shared" ref="F4:F19" si="1">POWER(E4,1/3)</f>
        <v>15.033878978932737</v>
      </c>
    </row>
    <row r="5" spans="1:6" x14ac:dyDescent="0.2">
      <c r="A5" t="s">
        <v>36</v>
      </c>
      <c r="B5">
        <v>8</v>
      </c>
      <c r="C5">
        <v>0.1</v>
      </c>
      <c r="D5">
        <v>68</v>
      </c>
      <c r="E5">
        <f t="shared" si="0"/>
        <v>2831.6000000000004</v>
      </c>
      <c r="F5">
        <f t="shared" si="1"/>
        <v>14.147421773012836</v>
      </c>
    </row>
    <row r="6" spans="1:6" x14ac:dyDescent="0.2">
      <c r="A6" t="s">
        <v>40</v>
      </c>
      <c r="B6">
        <v>4</v>
      </c>
      <c r="C6">
        <v>0.1</v>
      </c>
      <c r="D6">
        <v>72</v>
      </c>
      <c r="E6">
        <f t="shared" si="0"/>
        <v>2831.6000000000004</v>
      </c>
      <c r="F6">
        <f t="shared" si="1"/>
        <v>14.147421773012836</v>
      </c>
    </row>
    <row r="7" spans="1:6" x14ac:dyDescent="0.2">
      <c r="A7" t="s">
        <v>40</v>
      </c>
      <c r="B7">
        <v>8</v>
      </c>
      <c r="C7">
        <v>0.17</v>
      </c>
      <c r="D7">
        <v>67</v>
      </c>
      <c r="E7">
        <f t="shared" si="0"/>
        <v>4813.72</v>
      </c>
      <c r="F7">
        <f t="shared" si="1"/>
        <v>16.884710095197658</v>
      </c>
    </row>
    <row r="8" spans="1:6" x14ac:dyDescent="0.2">
      <c r="A8" t="s">
        <v>41</v>
      </c>
      <c r="B8">
        <v>4</v>
      </c>
      <c r="C8">
        <v>0.26</v>
      </c>
      <c r="D8">
        <v>52</v>
      </c>
      <c r="E8">
        <f t="shared" si="0"/>
        <v>7362.16</v>
      </c>
      <c r="F8">
        <f t="shared" si="1"/>
        <v>19.453679229436798</v>
      </c>
    </row>
    <row r="9" spans="1:6" x14ac:dyDescent="0.2">
      <c r="A9" t="s">
        <v>41</v>
      </c>
      <c r="B9">
        <v>8</v>
      </c>
      <c r="C9">
        <v>0.22</v>
      </c>
      <c r="D9">
        <v>58</v>
      </c>
      <c r="E9">
        <f t="shared" si="0"/>
        <v>6229.52</v>
      </c>
      <c r="F9">
        <f t="shared" si="1"/>
        <v>18.400015752979584</v>
      </c>
    </row>
    <row r="10" spans="1:6" x14ac:dyDescent="0.2">
      <c r="A10" t="s">
        <v>42</v>
      </c>
      <c r="B10">
        <v>4</v>
      </c>
      <c r="C10">
        <v>0.24</v>
      </c>
      <c r="D10">
        <v>54</v>
      </c>
      <c r="E10">
        <f t="shared" si="0"/>
        <v>6795.84</v>
      </c>
      <c r="F10">
        <f t="shared" si="1"/>
        <v>18.941500587129401</v>
      </c>
    </row>
    <row r="11" spans="1:6" x14ac:dyDescent="0.2">
      <c r="A11" t="s">
        <v>42</v>
      </c>
      <c r="B11">
        <v>8</v>
      </c>
      <c r="C11">
        <v>0.22</v>
      </c>
      <c r="D11">
        <v>60</v>
      </c>
      <c r="E11">
        <f t="shared" si="0"/>
        <v>6229.52</v>
      </c>
      <c r="F11">
        <f t="shared" si="1"/>
        <v>18.400015752979584</v>
      </c>
    </row>
    <row r="12" spans="1:6" x14ac:dyDescent="0.2">
      <c r="A12" t="s">
        <v>43</v>
      </c>
      <c r="B12">
        <v>4</v>
      </c>
      <c r="C12">
        <v>0.25</v>
      </c>
      <c r="D12">
        <v>61</v>
      </c>
      <c r="E12">
        <f t="shared" si="0"/>
        <v>7079</v>
      </c>
      <c r="F12">
        <f t="shared" si="1"/>
        <v>19.201005445032198</v>
      </c>
    </row>
    <row r="13" spans="1:6" x14ac:dyDescent="0.2">
      <c r="A13" t="s">
        <v>43</v>
      </c>
      <c r="B13">
        <v>8</v>
      </c>
      <c r="C13">
        <v>0.3</v>
      </c>
      <c r="D13">
        <v>63</v>
      </c>
      <c r="E13">
        <f t="shared" si="0"/>
        <v>8494.7999999999993</v>
      </c>
      <c r="F13">
        <f t="shared" si="1"/>
        <v>20.404112973085429</v>
      </c>
    </row>
    <row r="14" spans="1:6" x14ac:dyDescent="0.2">
      <c r="A14" s="15" t="s">
        <v>44</v>
      </c>
      <c r="B14" s="15">
        <v>4</v>
      </c>
      <c r="C14" s="15">
        <v>0.28000000000000003</v>
      </c>
      <c r="D14" s="15">
        <v>64</v>
      </c>
      <c r="E14" s="15">
        <f t="shared" si="0"/>
        <v>7928.4800000000005</v>
      </c>
      <c r="F14" s="15">
        <f t="shared" si="1"/>
        <v>19.940221504588123</v>
      </c>
    </row>
    <row r="15" spans="1:6" x14ac:dyDescent="0.2">
      <c r="A15" t="s">
        <v>44</v>
      </c>
      <c r="B15">
        <v>8</v>
      </c>
      <c r="C15">
        <v>0.35</v>
      </c>
      <c r="D15">
        <v>61</v>
      </c>
      <c r="E15">
        <f t="shared" si="0"/>
        <v>9910.5999999999985</v>
      </c>
      <c r="F15">
        <f t="shared" si="1"/>
        <v>21.479952468202207</v>
      </c>
    </row>
    <row r="16" spans="1:6" x14ac:dyDescent="0.2">
      <c r="A16" t="s">
        <v>45</v>
      </c>
      <c r="B16">
        <v>4</v>
      </c>
      <c r="C16">
        <v>0.75</v>
      </c>
      <c r="D16">
        <v>42</v>
      </c>
      <c r="E16">
        <f t="shared" si="0"/>
        <v>21237</v>
      </c>
      <c r="F16">
        <f t="shared" si="1"/>
        <v>27.692641852567895</v>
      </c>
    </row>
    <row r="17" spans="1:6" x14ac:dyDescent="0.2">
      <c r="A17" t="s">
        <v>45</v>
      </c>
      <c r="B17">
        <v>8</v>
      </c>
      <c r="C17">
        <v>0.45</v>
      </c>
      <c r="D17">
        <v>59</v>
      </c>
      <c r="E17">
        <f t="shared" si="0"/>
        <v>12742.2</v>
      </c>
      <c r="F17">
        <f t="shared" si="1"/>
        <v>23.356878726958108</v>
      </c>
    </row>
    <row r="18" spans="1:6" x14ac:dyDescent="0.2">
      <c r="A18" t="s">
        <v>46</v>
      </c>
      <c r="B18">
        <v>4</v>
      </c>
      <c r="C18">
        <v>0.67</v>
      </c>
      <c r="D18">
        <v>39</v>
      </c>
      <c r="E18">
        <f t="shared" si="0"/>
        <v>18971.72</v>
      </c>
      <c r="F18">
        <f t="shared" si="1"/>
        <v>26.670770896069143</v>
      </c>
    </row>
    <row r="19" spans="1:6" x14ac:dyDescent="0.2">
      <c r="A19" s="15" t="s">
        <v>46</v>
      </c>
      <c r="B19">
        <v>8</v>
      </c>
      <c r="C19">
        <v>0.75</v>
      </c>
      <c r="D19">
        <v>42</v>
      </c>
      <c r="E19">
        <f t="shared" si="0"/>
        <v>21237</v>
      </c>
      <c r="F19">
        <f t="shared" si="1"/>
        <v>27.692641852567895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E8F5-A575-374C-8DC4-BC67CB60DA63}">
  <dimension ref="A1:P31"/>
  <sheetViews>
    <sheetView workbookViewId="0">
      <selection activeCell="B6" sqref="B6"/>
    </sheetView>
  </sheetViews>
  <sheetFormatPr baseColWidth="10" defaultRowHeight="16" x14ac:dyDescent="0.2"/>
  <cols>
    <col min="2" max="2" width="15.5" customWidth="1"/>
    <col min="3" max="3" width="12.1640625" bestFit="1" customWidth="1"/>
    <col min="5" max="5" width="12.1640625" bestFit="1" customWidth="1"/>
    <col min="13" max="13" width="12.83203125" bestFit="1" customWidth="1"/>
  </cols>
  <sheetData>
    <row r="1" spans="1:16" x14ac:dyDescent="0.2">
      <c r="A1" t="s">
        <v>14</v>
      </c>
      <c r="B1" s="15">
        <v>318.3</v>
      </c>
      <c r="C1">
        <f>B1/1000000000</f>
        <v>3.1830000000000004E-7</v>
      </c>
      <c r="G1" t="s">
        <v>14</v>
      </c>
      <c r="H1">
        <v>147</v>
      </c>
      <c r="K1">
        <f>B1+B2</f>
        <v>318.3</v>
      </c>
    </row>
    <row r="2" spans="1:16" x14ac:dyDescent="0.2">
      <c r="A2" t="s">
        <v>15</v>
      </c>
      <c r="B2" s="15"/>
      <c r="C2">
        <f>B2/1000000000</f>
        <v>0</v>
      </c>
      <c r="G2" t="s">
        <v>15</v>
      </c>
      <c r="H2">
        <v>142</v>
      </c>
    </row>
    <row r="3" spans="1:16" x14ac:dyDescent="0.2">
      <c r="A3" t="s">
        <v>16</v>
      </c>
      <c r="B3">
        <v>1000</v>
      </c>
      <c r="G3" t="s">
        <v>16</v>
      </c>
      <c r="H3">
        <v>1100</v>
      </c>
    </row>
    <row r="4" spans="1:16" x14ac:dyDescent="0.2">
      <c r="A4" t="s">
        <v>17</v>
      </c>
      <c r="B4">
        <v>110</v>
      </c>
      <c r="C4">
        <f>B4/1000000000</f>
        <v>1.1000000000000001E-7</v>
      </c>
    </row>
    <row r="5" spans="1:16" x14ac:dyDescent="0.2">
      <c r="A5" t="s">
        <v>18</v>
      </c>
      <c r="B5">
        <v>6803</v>
      </c>
    </row>
    <row r="6" spans="1:16" x14ac:dyDescent="0.2">
      <c r="A6" t="s">
        <v>20</v>
      </c>
      <c r="B6">
        <v>3.1415926535000001</v>
      </c>
    </row>
    <row r="7" spans="1:16" x14ac:dyDescent="0.2">
      <c r="J7">
        <v>0.44900000000000001</v>
      </c>
      <c r="L7">
        <v>0.128</v>
      </c>
    </row>
    <row r="8" spans="1:16" x14ac:dyDescent="0.2">
      <c r="A8" t="s">
        <v>19</v>
      </c>
      <c r="B8">
        <f>1/(2*B6*B3*(C1+C2))</f>
        <v>500.01552967780179</v>
      </c>
      <c r="C8">
        <f>ABS(100-100*500/B8)</f>
        <v>3.1058390949993964E-3</v>
      </c>
      <c r="E8">
        <f>B3*(C1+C2)</f>
        <v>3.1830000000000004E-4</v>
      </c>
      <c r="F8" t="s">
        <v>23</v>
      </c>
      <c r="J8">
        <v>0.23499999999999999</v>
      </c>
      <c r="L8">
        <v>1.2999999999999999E-2</v>
      </c>
    </row>
    <row r="9" spans="1:16" x14ac:dyDescent="0.2">
      <c r="A9" t="s">
        <v>22</v>
      </c>
      <c r="B9">
        <f>B5*(C1+C2+B4)</f>
        <v>748330.00216539484</v>
      </c>
      <c r="E9">
        <f>B5*(C1+C2+C4)</f>
        <v>2.9137249000000002E-3</v>
      </c>
      <c r="J9">
        <v>0.42</v>
      </c>
      <c r="L9">
        <v>6</v>
      </c>
    </row>
    <row r="10" spans="1:16" x14ac:dyDescent="0.2">
      <c r="A10" t="s">
        <v>23</v>
      </c>
      <c r="B10">
        <f>B3*(C1+C2)</f>
        <v>3.1830000000000004E-4</v>
      </c>
      <c r="E10" s="15">
        <f>B5*B3*(C1+C2)*C4</f>
        <v>2.3819343900000005E-7</v>
      </c>
      <c r="F10" t="s">
        <v>24</v>
      </c>
    </row>
    <row r="11" spans="1:16" x14ac:dyDescent="0.2">
      <c r="A11" t="s">
        <v>24</v>
      </c>
      <c r="B11">
        <f>B3*B5*(C1+C2)*B4</f>
        <v>238.19343900000004</v>
      </c>
      <c r="E11" s="15">
        <f>E8+E9</f>
        <v>3.2320249000000003E-3</v>
      </c>
      <c r="F11" t="s">
        <v>22</v>
      </c>
    </row>
    <row r="13" spans="1:16" x14ac:dyDescent="0.2">
      <c r="A13" t="s">
        <v>25</v>
      </c>
      <c r="B13">
        <f>B9*B9-4*B11</f>
        <v>559997791188.08606</v>
      </c>
      <c r="O13" t="s">
        <v>34</v>
      </c>
      <c r="P13">
        <v>289.39999999999998</v>
      </c>
    </row>
    <row r="14" spans="1:16" x14ac:dyDescent="0.2">
      <c r="A14" t="s">
        <v>21</v>
      </c>
      <c r="B14">
        <f>B9+SQRT(B13)/2</f>
        <v>1122495.0029297923</v>
      </c>
    </row>
    <row r="15" spans="1:16" x14ac:dyDescent="0.2">
      <c r="A15" t="s">
        <v>26</v>
      </c>
      <c r="B15">
        <f>B9-SQRT(B13)/2</f>
        <v>374165.0014009974</v>
      </c>
      <c r="O15" t="s">
        <v>16</v>
      </c>
      <c r="P15">
        <v>1100</v>
      </c>
    </row>
    <row r="16" spans="1:16" x14ac:dyDescent="0.2">
      <c r="A16" t="s">
        <v>27</v>
      </c>
      <c r="B16">
        <f>(-E11-SQRT(E11*E11-4*E10))/(2*E10)</f>
        <v>-13252.108122913893</v>
      </c>
      <c r="O16" t="s">
        <v>17</v>
      </c>
      <c r="P16">
        <v>99.12</v>
      </c>
    </row>
    <row r="17" spans="1:16" x14ac:dyDescent="0.2">
      <c r="A17" t="s">
        <v>28</v>
      </c>
      <c r="B17">
        <f>-(-E11+SQRT(E11*E11-4*E10))/(2*E10)</f>
        <v>316.80004503946481</v>
      </c>
      <c r="O17" t="s">
        <v>18</v>
      </c>
      <c r="P17">
        <v>7569.8</v>
      </c>
    </row>
    <row r="18" spans="1:16" x14ac:dyDescent="0.2">
      <c r="A18" t="s">
        <v>29</v>
      </c>
      <c r="B18">
        <f>-B16/(2*B6)</f>
        <v>2109.1385142102881</v>
      </c>
      <c r="C18">
        <f>ABS(100-100*2122/B18)</f>
        <v>0.60979806224473521</v>
      </c>
    </row>
    <row r="19" spans="1:16" x14ac:dyDescent="0.2">
      <c r="A19" t="s">
        <v>30</v>
      </c>
      <c r="B19">
        <f>B17/(2*B6)</f>
        <v>50.420293141207019</v>
      </c>
      <c r="C19">
        <f>ABS(100-100*50/B19)</f>
        <v>0.83357932892208453</v>
      </c>
    </row>
    <row r="20" spans="1:16" x14ac:dyDescent="0.2">
      <c r="G20">
        <v>289.2</v>
      </c>
      <c r="H20" s="15">
        <v>220</v>
      </c>
      <c r="I20">
        <f>G20-H20</f>
        <v>69.199999999999989</v>
      </c>
      <c r="J20" s="15">
        <v>68</v>
      </c>
      <c r="K20">
        <f>I20-J20</f>
        <v>1.1999999999999886</v>
      </c>
      <c r="L20" s="15">
        <v>1.2</v>
      </c>
      <c r="M20">
        <v>0</v>
      </c>
    </row>
    <row r="21" spans="1:16" x14ac:dyDescent="0.2">
      <c r="G21">
        <v>99.1</v>
      </c>
      <c r="H21" s="15">
        <v>91</v>
      </c>
      <c r="I21">
        <f>G21-H21</f>
        <v>8.0999999999999943</v>
      </c>
      <c r="J21" s="15">
        <v>7.5</v>
      </c>
      <c r="K21">
        <f>H21+J21</f>
        <v>98.5</v>
      </c>
      <c r="L21" s="15">
        <v>0.62</v>
      </c>
      <c r="M21">
        <f>H21+J21+L21</f>
        <v>99.12</v>
      </c>
      <c r="N21" s="15"/>
    </row>
    <row r="22" spans="1:16" x14ac:dyDescent="0.2">
      <c r="G22">
        <v>7567</v>
      </c>
      <c r="H22" s="15">
        <v>7500</v>
      </c>
      <c r="I22">
        <f>G22-H22</f>
        <v>67</v>
      </c>
      <c r="J22" s="15">
        <v>66.5</v>
      </c>
      <c r="L22" s="15"/>
    </row>
    <row r="23" spans="1:16" x14ac:dyDescent="0.2">
      <c r="G23">
        <v>147</v>
      </c>
      <c r="H23" s="15">
        <v>68</v>
      </c>
      <c r="I23">
        <f>G23-H23</f>
        <v>79</v>
      </c>
      <c r="J23" s="15">
        <v>68</v>
      </c>
      <c r="K23">
        <f>I23-J23</f>
        <v>11</v>
      </c>
      <c r="L23" s="16">
        <v>11</v>
      </c>
    </row>
    <row r="24" spans="1:16" x14ac:dyDescent="0.2">
      <c r="G24">
        <v>142.19999999999999</v>
      </c>
      <c r="H24">
        <v>68</v>
      </c>
      <c r="I24">
        <f>G24-H24</f>
        <v>74.199999999999989</v>
      </c>
      <c r="J24">
        <v>68</v>
      </c>
      <c r="K24">
        <f>I24-J24</f>
        <v>6.1999999999999886</v>
      </c>
      <c r="L24" s="15">
        <v>0.2</v>
      </c>
    </row>
    <row r="27" spans="1:16" x14ac:dyDescent="0.2">
      <c r="F27" t="s">
        <v>14</v>
      </c>
      <c r="G27" t="s">
        <v>31</v>
      </c>
    </row>
    <row r="28" spans="1:16" x14ac:dyDescent="0.2">
      <c r="F28" t="s">
        <v>15</v>
      </c>
      <c r="G28" t="s">
        <v>32</v>
      </c>
    </row>
    <row r="29" spans="1:16" x14ac:dyDescent="0.2">
      <c r="F29" t="s">
        <v>16</v>
      </c>
      <c r="G29">
        <v>1100</v>
      </c>
    </row>
    <row r="30" spans="1:16" x14ac:dyDescent="0.2">
      <c r="F30" t="s">
        <v>18</v>
      </c>
      <c r="G30" t="s">
        <v>33</v>
      </c>
      <c r="H30">
        <v>75</v>
      </c>
    </row>
    <row r="31" spans="1:16" x14ac:dyDescent="0.2">
      <c r="F31" t="s">
        <v>17</v>
      </c>
      <c r="G31">
        <v>91</v>
      </c>
      <c r="H31">
        <v>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EA75-8024-E842-8950-700B74FDF589}">
  <dimension ref="A1:P44"/>
  <sheetViews>
    <sheetView tabSelected="1" zoomScaleNormal="99" workbookViewId="0">
      <selection activeCell="H21" sqref="H21"/>
    </sheetView>
  </sheetViews>
  <sheetFormatPr baseColWidth="10" defaultRowHeight="16" x14ac:dyDescent="0.2"/>
  <cols>
    <col min="2" max="2" width="15.5" customWidth="1"/>
    <col min="3" max="3" width="12.1640625" bestFit="1" customWidth="1"/>
    <col min="5" max="5" width="12.1640625" bestFit="1" customWidth="1"/>
    <col min="13" max="13" width="12.83203125" bestFit="1" customWidth="1"/>
  </cols>
  <sheetData>
    <row r="1" spans="1:16" x14ac:dyDescent="0.2">
      <c r="A1" t="s">
        <v>14</v>
      </c>
      <c r="B1" s="15">
        <v>212</v>
      </c>
      <c r="C1">
        <f>B1/1000000000</f>
        <v>2.1199999999999999E-7</v>
      </c>
      <c r="G1" t="s">
        <v>14</v>
      </c>
      <c r="H1">
        <v>147</v>
      </c>
      <c r="K1">
        <f>B1+B2</f>
        <v>212</v>
      </c>
    </row>
    <row r="2" spans="1:16" x14ac:dyDescent="0.2">
      <c r="A2" t="s">
        <v>15</v>
      </c>
      <c r="B2" s="15"/>
      <c r="C2">
        <f>B2/1000000000</f>
        <v>0</v>
      </c>
      <c r="G2" t="s">
        <v>15</v>
      </c>
      <c r="H2">
        <v>142</v>
      </c>
    </row>
    <row r="3" spans="1:16" x14ac:dyDescent="0.2">
      <c r="A3" t="s">
        <v>16</v>
      </c>
      <c r="B3">
        <v>1500</v>
      </c>
      <c r="G3" t="s">
        <v>16</v>
      </c>
      <c r="H3">
        <v>1100</v>
      </c>
    </row>
    <row r="4" spans="1:16" x14ac:dyDescent="0.2">
      <c r="A4" t="s">
        <v>17</v>
      </c>
      <c r="B4">
        <v>72.7</v>
      </c>
      <c r="C4">
        <f>B4/1000000000</f>
        <v>7.2700000000000009E-8</v>
      </c>
    </row>
    <row r="5" spans="1:16" x14ac:dyDescent="0.2">
      <c r="A5" t="s">
        <v>18</v>
      </c>
      <c r="B5">
        <v>10321</v>
      </c>
    </row>
    <row r="6" spans="1:16" x14ac:dyDescent="0.2">
      <c r="A6" t="s">
        <v>20</v>
      </c>
      <c r="B6">
        <v>3.1415926535000001</v>
      </c>
    </row>
    <row r="7" spans="1:16" x14ac:dyDescent="0.2">
      <c r="J7">
        <v>0.44900000000000001</v>
      </c>
      <c r="L7">
        <v>0.128</v>
      </c>
    </row>
    <row r="8" spans="1:16" x14ac:dyDescent="0.2">
      <c r="A8" t="s">
        <v>19</v>
      </c>
      <c r="B8">
        <f>1/(2*B6*B3*(C1+C2))</f>
        <v>500.48724244164879</v>
      </c>
      <c r="C8">
        <f>ABS(100-100*500/B8)</f>
        <v>9.7353618699997924E-2</v>
      </c>
      <c r="E8">
        <f>B3*(C1+C2)</f>
        <v>3.1799999999999998E-4</v>
      </c>
      <c r="F8" t="s">
        <v>23</v>
      </c>
      <c r="J8">
        <v>0.23499999999999999</v>
      </c>
      <c r="L8">
        <v>1.2999999999999999E-2</v>
      </c>
    </row>
    <row r="9" spans="1:16" x14ac:dyDescent="0.2">
      <c r="A9" t="s">
        <v>22</v>
      </c>
      <c r="B9">
        <f>B5*(C1+C2+B4)</f>
        <v>750336.70218805212</v>
      </c>
      <c r="E9">
        <f>B5*(C1+C2+C4)</f>
        <v>2.9383886999999999E-3</v>
      </c>
      <c r="J9">
        <v>0.42</v>
      </c>
      <c r="L9">
        <v>6</v>
      </c>
    </row>
    <row r="10" spans="1:16" x14ac:dyDescent="0.2">
      <c r="A10" t="s">
        <v>23</v>
      </c>
      <c r="B10">
        <f>B3*(C1+C2)</f>
        <v>3.1799999999999998E-4</v>
      </c>
      <c r="E10" s="15">
        <f>B5*B3*(C1+C2)*C4</f>
        <v>2.3860707060000003E-7</v>
      </c>
      <c r="F10" t="s">
        <v>24</v>
      </c>
    </row>
    <row r="11" spans="1:16" x14ac:dyDescent="0.2">
      <c r="A11" t="s">
        <v>24</v>
      </c>
      <c r="B11">
        <f>B3*B5*(C1+C2)*B4</f>
        <v>238.60707059999999</v>
      </c>
      <c r="E11" s="15">
        <f>E8+E9</f>
        <v>3.2563887000000001E-3</v>
      </c>
      <c r="F11" t="s">
        <v>22</v>
      </c>
    </row>
    <row r="13" spans="1:16" x14ac:dyDescent="0.2">
      <c r="A13" t="s">
        <v>25</v>
      </c>
      <c r="B13">
        <f>B9*B9-4*B11</f>
        <v>563005165696.01343</v>
      </c>
      <c r="O13" t="s">
        <v>34</v>
      </c>
      <c r="P13">
        <v>289.39999999999998</v>
      </c>
    </row>
    <row r="14" spans="1:16" x14ac:dyDescent="0.2">
      <c r="A14" t="s">
        <v>21</v>
      </c>
      <c r="B14">
        <f>B9+SQRT(B13)/2</f>
        <v>1125505.0529640783</v>
      </c>
    </row>
    <row r="15" spans="1:16" x14ac:dyDescent="0.2">
      <c r="A15" t="s">
        <v>26</v>
      </c>
      <c r="B15">
        <f>B9-SQRT(B13)/2</f>
        <v>375168.35141202604</v>
      </c>
      <c r="O15" t="s">
        <v>16</v>
      </c>
      <c r="P15">
        <v>1100</v>
      </c>
    </row>
    <row r="16" spans="1:16" x14ac:dyDescent="0.2">
      <c r="A16" t="s">
        <v>27</v>
      </c>
      <c r="B16">
        <f>-(-E11-SQRT(E11*E11-4*E10))/(2*E10)</f>
        <v>13333.166333307683</v>
      </c>
      <c r="O16" t="s">
        <v>17</v>
      </c>
      <c r="P16">
        <v>99.12</v>
      </c>
    </row>
    <row r="17" spans="1:16" x14ac:dyDescent="0.2">
      <c r="A17" t="s">
        <v>28</v>
      </c>
      <c r="B17">
        <f>-(-E11+SQRT(E11*E11-4*E10))/(2*E10)</f>
        <v>314.3282351118653</v>
      </c>
      <c r="O17" t="s">
        <v>18</v>
      </c>
      <c r="P17">
        <v>7569.8</v>
      </c>
    </row>
    <row r="18" spans="1:16" x14ac:dyDescent="0.2">
      <c r="A18" t="s">
        <v>29</v>
      </c>
      <c r="B18">
        <f>B16/(2*B6)</f>
        <v>2122.0393290730112</v>
      </c>
      <c r="C18">
        <f>ABS(100-100*2122/B18)</f>
        <v>1.853362115980417E-3</v>
      </c>
    </row>
    <row r="19" spans="1:16" x14ac:dyDescent="0.2">
      <c r="A19" t="s">
        <v>30</v>
      </c>
      <c r="B19">
        <f>B17/(2*B6)</f>
        <v>50.026892372834688</v>
      </c>
      <c r="C19">
        <f>ABS(100-100*50/B19)</f>
        <v>5.3755833231193151E-2</v>
      </c>
    </row>
    <row r="20" spans="1:16" x14ac:dyDescent="0.2">
      <c r="G20">
        <v>212</v>
      </c>
      <c r="H20" s="15">
        <v>100</v>
      </c>
      <c r="I20">
        <f>G20-H20</f>
        <v>112</v>
      </c>
      <c r="J20" s="15">
        <v>100</v>
      </c>
      <c r="K20">
        <f>I20-J20</f>
        <v>12</v>
      </c>
      <c r="L20" s="15">
        <v>12</v>
      </c>
      <c r="M20">
        <v>0</v>
      </c>
    </row>
    <row r="21" spans="1:16" x14ac:dyDescent="0.2">
      <c r="G21">
        <v>72.7</v>
      </c>
      <c r="H21" s="15">
        <v>68</v>
      </c>
      <c r="I21">
        <f>G21-H21</f>
        <v>4.7000000000000028</v>
      </c>
      <c r="J21" s="15">
        <v>4.7</v>
      </c>
      <c r="K21">
        <f>I21-J21</f>
        <v>0</v>
      </c>
      <c r="L21" s="15">
        <v>0.62</v>
      </c>
      <c r="M21">
        <f>H21+J21+L21</f>
        <v>73.320000000000007</v>
      </c>
      <c r="N21" s="15"/>
    </row>
    <row r="22" spans="1:16" x14ac:dyDescent="0.2">
      <c r="G22">
        <v>10323</v>
      </c>
      <c r="H22" s="15">
        <v>10200</v>
      </c>
      <c r="I22">
        <f>G22-H22</f>
        <v>123</v>
      </c>
      <c r="J22" s="15">
        <v>123</v>
      </c>
      <c r="K22">
        <f>I22-J22</f>
        <v>0</v>
      </c>
      <c r="L22" s="15">
        <v>200</v>
      </c>
    </row>
    <row r="23" spans="1:16" x14ac:dyDescent="0.2">
      <c r="H23" s="15"/>
      <c r="J23" s="15"/>
      <c r="L23" s="16"/>
    </row>
    <row r="24" spans="1:16" x14ac:dyDescent="0.2">
      <c r="L24" s="15"/>
    </row>
    <row r="27" spans="1:16" x14ac:dyDescent="0.2">
      <c r="F27" t="s">
        <v>14</v>
      </c>
      <c r="G27" t="s">
        <v>31</v>
      </c>
    </row>
    <row r="28" spans="1:16" x14ac:dyDescent="0.2">
      <c r="F28" t="s">
        <v>15</v>
      </c>
      <c r="G28" t="s">
        <v>32</v>
      </c>
    </row>
    <row r="29" spans="1:16" x14ac:dyDescent="0.2">
      <c r="A29" t="s">
        <v>48</v>
      </c>
      <c r="B29">
        <v>100</v>
      </c>
      <c r="F29" t="s">
        <v>16</v>
      </c>
      <c r="G29">
        <v>1100</v>
      </c>
    </row>
    <row r="30" spans="1:16" x14ac:dyDescent="0.2">
      <c r="A30" t="s">
        <v>49</v>
      </c>
      <c r="B30">
        <v>6800</v>
      </c>
      <c r="F30" t="s">
        <v>18</v>
      </c>
      <c r="G30" t="s">
        <v>33</v>
      </c>
      <c r="H30">
        <v>75</v>
      </c>
    </row>
    <row r="31" spans="1:16" x14ac:dyDescent="0.2">
      <c r="A31" t="s">
        <v>50</v>
      </c>
      <c r="B31">
        <f>B30/B29</f>
        <v>68</v>
      </c>
      <c r="F31" t="s">
        <v>17</v>
      </c>
      <c r="G31">
        <v>91</v>
      </c>
      <c r="H31">
        <v>7.5</v>
      </c>
    </row>
    <row r="32" spans="1:16" x14ac:dyDescent="0.2">
      <c r="B32">
        <f>20*LOG(B31)</f>
        <v>36.650178254124725</v>
      </c>
    </row>
    <row r="35" spans="1:4" x14ac:dyDescent="0.2">
      <c r="A35" t="s">
        <v>48</v>
      </c>
      <c r="B35">
        <v>100</v>
      </c>
    </row>
    <row r="36" spans="1:4" x14ac:dyDescent="0.2">
      <c r="A36" t="s">
        <v>49</v>
      </c>
      <c r="B36">
        <v>2200</v>
      </c>
    </row>
    <row r="37" spans="1:4" x14ac:dyDescent="0.2">
      <c r="A37" t="s">
        <v>50</v>
      </c>
      <c r="B37">
        <f>B36/B35</f>
        <v>22</v>
      </c>
    </row>
    <row r="38" spans="1:4" x14ac:dyDescent="0.2">
      <c r="B38">
        <f>20*LOG(B37)</f>
        <v>26.848453616444125</v>
      </c>
    </row>
    <row r="41" spans="1:4" x14ac:dyDescent="0.2">
      <c r="A41" t="s">
        <v>51</v>
      </c>
      <c r="B41">
        <v>20</v>
      </c>
    </row>
    <row r="42" spans="1:4" x14ac:dyDescent="0.2">
      <c r="A42" t="s">
        <v>52</v>
      </c>
      <c r="B42">
        <f>B31-B41</f>
        <v>48</v>
      </c>
    </row>
    <row r="43" spans="1:4" x14ac:dyDescent="0.2">
      <c r="A43" t="s">
        <v>53</v>
      </c>
      <c r="B43">
        <f>B32+B38-20</f>
        <v>43.49863187056885</v>
      </c>
    </row>
    <row r="44" spans="1:4" x14ac:dyDescent="0.2">
      <c r="B44">
        <f>POWER(10,B43/20)</f>
        <v>149.60000000000005</v>
      </c>
      <c r="C44">
        <f>0.005</f>
        <v>5.0000000000000001E-3</v>
      </c>
      <c r="D44">
        <f>C44*B44</f>
        <v>0.74800000000000022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Sheet2 (2)</vt:lpstr>
      <vt:lpstr>Sheet2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Storey</dc:creator>
  <cp:lastModifiedBy>Duane Storey</cp:lastModifiedBy>
  <cp:lastPrinted>2025-10-21T10:14:21Z</cp:lastPrinted>
  <dcterms:created xsi:type="dcterms:W3CDTF">2025-10-20T21:37:57Z</dcterms:created>
  <dcterms:modified xsi:type="dcterms:W3CDTF">2025-10-28T11:28:12Z</dcterms:modified>
</cp:coreProperties>
</file>